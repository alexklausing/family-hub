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klausing/Documents/family-hub/"/>
    </mc:Choice>
  </mc:AlternateContent>
  <xr:revisionPtr revIDLastSave="0" documentId="13_ncr:1_{2FF176FE-0D70-CC49-93D9-DCD6B0B7C7B2}" xr6:coauthVersionLast="47" xr6:coauthVersionMax="47" xr10:uidLastSave="{00000000-0000-0000-0000-000000000000}"/>
  <bookViews>
    <workbookView xWindow="680" yWindow="680" windowWidth="28040" windowHeight="17140" xr2:uid="{C8E3985A-45D7-6049-B8BA-6DA90127A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D3" i="1"/>
  <c r="D27" i="1"/>
  <c r="D4" i="1"/>
  <c r="D2" i="1"/>
  <c r="D15" i="1" l="1"/>
</calcChain>
</file>

<file path=xl/sharedStrings.xml><?xml version="1.0" encoding="utf-8"?>
<sst xmlns="http://schemas.openxmlformats.org/spreadsheetml/2006/main" count="26" uniqueCount="22">
  <si>
    <t>Raspberry Pi 5 4GB</t>
  </si>
  <si>
    <t>https://www.amazon.com/waveshare-Capacitive-1920%C3%971080-Toughened-Interface/dp/B0GQF91FWY?ufe=app_do%3Aamzn1.fos.17d9e15d-4e43-4581-b373-0e5c1a776d5d</t>
  </si>
  <si>
    <t>Waveshare, 23.8inch Capacitive Touch Monitor, 1920×1080 Full HD, Optical Bonding Toughened Glass Panel, HDMI Display Interface, 10-Point Touch</t>
  </si>
  <si>
    <t>https://www.pishop.us/product/raspberry-pi-5-4gb/</t>
  </si>
  <si>
    <t>Rasberry Pi Active Cooler</t>
  </si>
  <si>
    <t>Official MicroSD Card With Raspberry Pi OS 64-bit - 32GB</t>
  </si>
  <si>
    <t>Raspberry Pi 5 27W USB-C Power Supply</t>
  </si>
  <si>
    <t>Base</t>
  </si>
  <si>
    <t>Shipping</t>
  </si>
  <si>
    <t>Total</t>
  </si>
  <si>
    <t>ViewSonic TD2430 24" 10-Point Multi Touch Monitor</t>
  </si>
  <si>
    <t>https://www.amazon.com/ViewSonic-TD2430-10-Point-Monitor-DisplayPort/dp/B01LVVNHTL?nsdOptOutParam=true</t>
  </si>
  <si>
    <t xml:space="preserve">total </t>
  </si>
  <si>
    <t>source</t>
  </si>
  <si>
    <t>Low-Profile VESA Wall Mount Bracket (100x100mm)</t>
  </si>
  <si>
    <t>Est. Buy on Amazon</t>
  </si>
  <si>
    <t>Right-Angle Micro-HDMI to HDMI Cable (3 Feet)</t>
  </si>
  <si>
    <t>https://www.amazon.com/Silicon-Power-256GB-Gen3x4-SP256GBP34A60M28/dp/B07ZGK3K4V</t>
  </si>
  <si>
    <t xml:space="preserve">Silicon Power 256GB NVMe M.2 PCIe Gen3x4 2280 SSD (SP256GBP34A60M28) </t>
  </si>
  <si>
    <t>https://www.amazon.com/M-2-PoE-HAT-Compatible-High-Speed/dp/B0DNLSZ3LF</t>
  </si>
  <si>
    <t>ALSO CONSIDER BUT NOT IN CURRENT PURCHASE PLAN</t>
  </si>
  <si>
    <t xml:space="preserve">| **NVMe PCIe Hat** | Waveshare PCIe to M.2 HAT+ (Model B)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</si>
</sst>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1" applyFont="1"/>
    <xf numFmtId="0" fontId="3" fillId="0" borderId="0" xfId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ViewSonic-TD2430-10-Point-Monitor-DisplayPort/dp/B01LVVNHTL?nsdOptOutParam=true" TargetMode="External"/><Relationship Id="rId2" Type="http://schemas.openxmlformats.org/officeDocument/2006/relationships/hyperlink" Target="https://www.pishop.us/product/raspberry-pi-5-4gb/" TargetMode="External"/><Relationship Id="rId1" Type="http://schemas.openxmlformats.org/officeDocument/2006/relationships/hyperlink" Target="https://www.pishop.us/product/raspberry-pi-5-4gb/" TargetMode="External"/><Relationship Id="rId4" Type="http://schemas.openxmlformats.org/officeDocument/2006/relationships/hyperlink" Target="https://www.amazon.com/M-2-PoE-HAT-Compatible-High-Speed/dp/B0DNLSZ3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3EC79-AD71-9E43-8B80-D2F51DF7D5C7}">
  <dimension ref="A1:F28"/>
  <sheetViews>
    <sheetView tabSelected="1" workbookViewId="0">
      <selection activeCell="F18" sqref="F18"/>
    </sheetView>
  </sheetViews>
  <sheetFormatPr baseColWidth="10" defaultRowHeight="16" x14ac:dyDescent="0.2"/>
  <cols>
    <col min="1" max="1" width="123" style="1" bestFit="1" customWidth="1"/>
    <col min="2" max="4" width="10.83203125" style="2"/>
    <col min="5" max="16384" width="10.83203125" style="1"/>
  </cols>
  <sheetData>
    <row r="1" spans="1:6" x14ac:dyDescent="0.2">
      <c r="B1" s="6" t="s">
        <v>7</v>
      </c>
      <c r="C1" s="6" t="s">
        <v>8</v>
      </c>
      <c r="D1" s="6" t="s">
        <v>12</v>
      </c>
      <c r="E1" s="5" t="s">
        <v>13</v>
      </c>
      <c r="F1" s="5"/>
    </row>
    <row r="2" spans="1:6" x14ac:dyDescent="0.2">
      <c r="A2" s="1" t="s">
        <v>0</v>
      </c>
      <c r="B2" s="2">
        <v>110</v>
      </c>
      <c r="D2" s="2">
        <f>B2</f>
        <v>110</v>
      </c>
      <c r="E2" s="3" t="s">
        <v>3</v>
      </c>
    </row>
    <row r="3" spans="1:6" x14ac:dyDescent="0.2">
      <c r="A3" s="1" t="s">
        <v>4</v>
      </c>
      <c r="B3" s="2">
        <v>10.95</v>
      </c>
      <c r="D3" s="2">
        <f t="shared" ref="D3:D4" si="0">B3</f>
        <v>10.95</v>
      </c>
      <c r="E3" s="3" t="s">
        <v>3</v>
      </c>
    </row>
    <row r="4" spans="1:6" x14ac:dyDescent="0.2">
      <c r="A4" s="1" t="s">
        <v>6</v>
      </c>
      <c r="B4" s="2">
        <v>12.95</v>
      </c>
      <c r="D4" s="2">
        <f t="shared" si="0"/>
        <v>12.95</v>
      </c>
      <c r="E4" s="3" t="s">
        <v>3</v>
      </c>
    </row>
    <row r="5" spans="1:6" x14ac:dyDescent="0.2">
      <c r="E5" s="3"/>
    </row>
    <row r="6" spans="1:6" x14ac:dyDescent="0.2">
      <c r="A6" s="1" t="s">
        <v>18</v>
      </c>
      <c r="B6" s="2">
        <v>59.79</v>
      </c>
      <c r="D6" s="2">
        <v>59.79</v>
      </c>
      <c r="E6" s="3" t="s">
        <v>17</v>
      </c>
    </row>
    <row r="7" spans="1:6" x14ac:dyDescent="0.2">
      <c r="A7" s="1" t="s">
        <v>21</v>
      </c>
      <c r="D7" s="2">
        <v>30.99</v>
      </c>
      <c r="E7" s="3" t="s">
        <v>19</v>
      </c>
    </row>
    <row r="8" spans="1:6" x14ac:dyDescent="0.2">
      <c r="E8" s="3"/>
    </row>
    <row r="9" spans="1:6" x14ac:dyDescent="0.2">
      <c r="A9" s="1" t="s">
        <v>10</v>
      </c>
      <c r="B9" s="2">
        <v>339.99</v>
      </c>
      <c r="D9" s="2">
        <f t="shared" ref="D9" si="1">C9+B9</f>
        <v>339.99</v>
      </c>
      <c r="E9" s="3" t="s">
        <v>11</v>
      </c>
    </row>
    <row r="11" spans="1:6" x14ac:dyDescent="0.2">
      <c r="A11" s="1" t="s">
        <v>14</v>
      </c>
      <c r="D11" s="2">
        <v>20</v>
      </c>
      <c r="E11" s="1" t="s">
        <v>15</v>
      </c>
    </row>
    <row r="13" spans="1:6" x14ac:dyDescent="0.2">
      <c r="A13" s="1" t="s">
        <v>16</v>
      </c>
      <c r="D13" s="2">
        <v>10</v>
      </c>
      <c r="E13" s="1" t="s">
        <v>15</v>
      </c>
    </row>
    <row r="15" spans="1:6" x14ac:dyDescent="0.2">
      <c r="B15" s="6" t="s">
        <v>9</v>
      </c>
      <c r="C15" s="6"/>
      <c r="D15" s="6">
        <f>SUM(D2:D14)</f>
        <v>594.67000000000007</v>
      </c>
      <c r="E15" s="5"/>
    </row>
    <row r="26" spans="1:5" x14ac:dyDescent="0.2">
      <c r="A26" s="1" t="s">
        <v>20</v>
      </c>
    </row>
    <row r="27" spans="1:5" x14ac:dyDescent="0.2">
      <c r="A27" s="1" t="s">
        <v>5</v>
      </c>
      <c r="B27" s="2">
        <v>19.95</v>
      </c>
      <c r="D27" s="2">
        <f>B27</f>
        <v>19.95</v>
      </c>
      <c r="E27" s="3" t="s">
        <v>3</v>
      </c>
    </row>
    <row r="28" spans="1:5" x14ac:dyDescent="0.2">
      <c r="A28" s="1" t="s">
        <v>2</v>
      </c>
      <c r="B28" s="2">
        <v>345.99</v>
      </c>
      <c r="C28" s="2">
        <v>120.4</v>
      </c>
      <c r="D28" s="4"/>
      <c r="E28" s="1" t="s">
        <v>1</v>
      </c>
    </row>
  </sheetData>
  <hyperlinks>
    <hyperlink ref="E2" r:id="rId1" xr:uid="{3C46E6C3-68E4-294C-A801-EFA628A05A61}"/>
    <hyperlink ref="E3:E4" r:id="rId2" display="https://www.pishop.us/product/raspberry-pi-5-4gb/" xr:uid="{CF100F01-6370-2643-8FBA-F8DDDCE5B3C6}"/>
    <hyperlink ref="E9" r:id="rId3" xr:uid="{78A37FF5-F345-D94C-87D6-8604F47B3A3E}"/>
    <hyperlink ref="E7" r:id="rId4" xr:uid="{B2082589-475F-424E-82C3-07C95814CF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Klausing, Alexander N</dc:creator>
  <cp:lastModifiedBy>Klausing, Alexander N</cp:lastModifiedBy>
  <dcterms:created xsi:type="dcterms:W3CDTF">2026-06-11T22:17:00Z</dcterms:created>
  <dcterms:modified xsi:type="dcterms:W3CDTF">2026-06-14T18:35:25Z</dcterms:modified>
</cp:coreProperties>
</file>